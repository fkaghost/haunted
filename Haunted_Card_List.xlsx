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rcj\Downloads\"/>
    </mc:Choice>
  </mc:AlternateContent>
  <xr:revisionPtr revIDLastSave="0" documentId="13_ncr:1_{29771619-E8BC-4357-8125-9431260CA6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ll Cards" sheetId="1" r:id="rId1"/>
    <sheet name="Deck Summary" sheetId="2" r:id="rId2"/>
  </sheets>
  <definedNames>
    <definedName name="_xlnm._FilterDatabase" localSheetId="0" hidden="1">'All Cards'!$A$1:$F$104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C7" i="2"/>
  <c r="C6" i="2"/>
  <c r="C5" i="2"/>
  <c r="C4" i="2"/>
  <c r="C3" i="2"/>
  <c r="C2" i="2"/>
  <c r="C8" i="2" s="1"/>
  <c r="A106" i="1"/>
</calcChain>
</file>

<file path=xl/sharedStrings.xml><?xml version="1.0" encoding="utf-8"?>
<sst xmlns="http://schemas.openxmlformats.org/spreadsheetml/2006/main" count="532" uniqueCount="147">
  <si>
    <t>Card #</t>
  </si>
  <si>
    <t>Deck</t>
  </si>
  <si>
    <t>Name</t>
  </si>
  <si>
    <t>Description</t>
  </si>
  <si>
    <t>Type</t>
  </si>
  <si>
    <t>Copy</t>
  </si>
  <si>
    <t>Draw Deck</t>
  </si>
  <si>
    <t>Backpack</t>
  </si>
  <si>
    <t>Tool</t>
  </si>
  <si>
    <t>1 of 1</t>
  </si>
  <si>
    <t>Bandage</t>
  </si>
  <si>
    <t>Healing</t>
  </si>
  <si>
    <t>1 of 3</t>
  </si>
  <si>
    <t>2 of 3</t>
  </si>
  <si>
    <t>3 of 3</t>
  </si>
  <si>
    <t>Bat</t>
  </si>
  <si>
    <t>Weapon</t>
  </si>
  <si>
    <t>Chocolate</t>
  </si>
  <si>
    <t>Crucifix</t>
  </si>
  <si>
    <t>Anti-Killer</t>
  </si>
  <si>
    <t>Epinephrine</t>
  </si>
  <si>
    <t>1 of 2</t>
  </si>
  <si>
    <t>2 of 2</t>
  </si>
  <si>
    <t>Fire Poker</t>
  </si>
  <si>
    <t>Flashlight</t>
  </si>
  <si>
    <t>Utility</t>
  </si>
  <si>
    <t>Hammer</t>
  </si>
  <si>
    <t>Deal 1 damage</t>
  </si>
  <si>
    <t>Holy Water</t>
  </si>
  <si>
    <t>Deal 5 extra damage to the Vampire, Werewolf, or Killer Doll</t>
  </si>
  <si>
    <t>Knife</t>
  </si>
  <si>
    <t>Deal 2 damage</t>
  </si>
  <si>
    <t>Lantern</t>
  </si>
  <si>
    <t>Medic Pack</t>
  </si>
  <si>
    <t>Pain Killers</t>
  </si>
  <si>
    <t>See a Ghost</t>
  </si>
  <si>
    <t>Event</t>
  </si>
  <si>
    <t>Silver Stake</t>
  </si>
  <si>
    <t>Deal 8 extra damage to the Werewolf</t>
  </si>
  <si>
    <t>Small Bag</t>
  </si>
  <si>
    <t>Step on a Creaky Floor</t>
  </si>
  <si>
    <t>Add 1 to the Killer roll in this room</t>
  </si>
  <si>
    <t>Step on a Squeaky Teddy Bear</t>
  </si>
  <si>
    <t>Strange Tonic</t>
  </si>
  <si>
    <t>Trip!</t>
  </si>
  <si>
    <t>Wind-Up Clock</t>
  </si>
  <si>
    <t>Play to distract the killer in two turns; the killer won't appear that turn</t>
  </si>
  <si>
    <t>Ghost Deck</t>
  </si>
  <si>
    <t>Chill in the Air</t>
  </si>
  <si>
    <t>Killer Control</t>
  </si>
  <si>
    <t>Cold Spot</t>
  </si>
  <si>
    <t>Choose a room. Subtract 2 from the next Killer roll made there — the killer is less likely to appear</t>
  </si>
  <si>
    <t>1 of 4</t>
  </si>
  <si>
    <t>2 of 4</t>
  </si>
  <si>
    <t>3 of 4</t>
  </si>
  <si>
    <t>4 of 4</t>
  </si>
  <si>
    <t>Familiar Halls</t>
  </si>
  <si>
    <t>A chosen player may return to the room they just left, or stay put, without facing the killer on their next turn</t>
  </si>
  <si>
    <t>Board</t>
  </si>
  <si>
    <t>Glowing Room</t>
  </si>
  <si>
    <t>Choose a room. Add 2 to the next Killer roll made there — the killer is more likely to appear</t>
  </si>
  <si>
    <t>Grave Chill</t>
  </si>
  <si>
    <t>Interference</t>
  </si>
  <si>
    <t>Locked Door</t>
  </si>
  <si>
    <t>Seal a doorway for one round</t>
  </si>
  <si>
    <t>Poltergeist</t>
  </si>
  <si>
    <t>Switch the Key cards between two rooms</t>
  </si>
  <si>
    <t>Possess</t>
  </si>
  <si>
    <t>Control</t>
  </si>
  <si>
    <t>Restless Spirit</t>
  </si>
  <si>
    <t>The killer does not heal for 2 turns</t>
  </si>
  <si>
    <t>Second Sight</t>
  </si>
  <si>
    <t>Slam the Door</t>
  </si>
  <si>
    <t>Spook!</t>
  </si>
  <si>
    <t>Key Deck</t>
  </si>
  <si>
    <t>Key</t>
  </si>
  <si>
    <t>Not a Key</t>
  </si>
  <si>
    <t>No key here. You find something else instead: draw 1 card from the Draw deck</t>
  </si>
  <si>
    <t>1 of 7</t>
  </si>
  <si>
    <t>2 of 7</t>
  </si>
  <si>
    <t>3 of 7</t>
  </si>
  <si>
    <t>4 of 7</t>
  </si>
  <si>
    <t>5 of 7</t>
  </si>
  <si>
    <t>6 of 7</t>
  </si>
  <si>
    <t>7 of 7</t>
  </si>
  <si>
    <t>Allegiance Deck</t>
  </si>
  <si>
    <t>Guardian — Echoes</t>
  </si>
  <si>
    <t>Guardian</t>
  </si>
  <si>
    <t>Guardian — Scattered Bones</t>
  </si>
  <si>
    <t>Guardian — Where I Fell</t>
  </si>
  <si>
    <t>Malevolent</t>
  </si>
  <si>
    <t>Character Cards</t>
  </si>
  <si>
    <t>Athlete</t>
  </si>
  <si>
    <t>Character</t>
  </si>
  <si>
    <t>Caretaker</t>
  </si>
  <si>
    <t>Detective</t>
  </si>
  <si>
    <t>Movie Star</t>
  </si>
  <si>
    <t>Priest</t>
  </si>
  <si>
    <t>Killer Cards</t>
  </si>
  <si>
    <t>Chainsaw</t>
  </si>
  <si>
    <t>Killer</t>
  </si>
  <si>
    <t>Clown</t>
  </si>
  <si>
    <t>El Cucuy</t>
  </si>
  <si>
    <t>Killer Doll</t>
  </si>
  <si>
    <t>Serial Killer</t>
  </si>
  <si>
    <t>Trench Coat Killer</t>
  </si>
  <si>
    <t>Vampire</t>
  </si>
  <si>
    <t>Werewolf</t>
  </si>
  <si>
    <t>Zombie</t>
  </si>
  <si>
    <t>TOTAL CARDS</t>
  </si>
  <si>
    <t>Unique Designs</t>
  </si>
  <si>
    <t>Physical Cards</t>
  </si>
  <si>
    <t>TOTAL</t>
  </si>
  <si>
    <t>Heal 1 health</t>
  </si>
  <si>
    <t>Revive a player to 3 health</t>
  </si>
  <si>
    <t>Heal 3 health</t>
  </si>
  <si>
    <t>Heal 2 health</t>
  </si>
  <si>
    <t>+ 3 to run from the Vampire or Killer Doll</t>
  </si>
  <si>
    <t>Drop all items. Costs 1 action to pick up each item. They stay on the floor until every player leaves the room</t>
  </si>
  <si>
    <t>Take control of a living player's entire turn.</t>
  </si>
  <si>
    <t>+1 to Search</t>
  </si>
  <si>
    <t xml:space="preserve">Deal 1 damage. '+ 1 to Fight </t>
  </si>
  <si>
    <t xml:space="preserve">Deal 2 damage. '+ 1 to Fight </t>
  </si>
  <si>
    <t>Key!</t>
  </si>
  <si>
    <t>You win if the group meets its VP threshold. Objective: A key is found in the same room twice (+1 VP)</t>
  </si>
  <si>
    <t>You win if the group meets its VP threshold. Objective: All 3 keys are found in a different rooms (+1 VP)</t>
  </si>
  <si>
    <t>You win if the group meets its VP threshold. Objective: A key must be found in the room where you died (+1 VP)</t>
  </si>
  <si>
    <t>Bravery - High (+2 Fight) | Wits  - Low (no bonus) | Health - High (7)</t>
  </si>
  <si>
    <t>Bravery - Low (no bonus) | Wits - High (+2 Search/Run) | Health - High (7)</t>
  </si>
  <si>
    <t>Bravery - High (+2 Fight) | Wits - High (+2 Search/Run) | Health - Low (5)</t>
  </si>
  <si>
    <t>Bravery - Medium (+1 Fight) | Wits - Medium (+1 Search/Run) | Health - High (7)</t>
  </si>
  <si>
    <t>Bravery High - (+2 Fight) | Wits - Medium (+1 Search/Run) | Health - Medium (6)</t>
  </si>
  <si>
    <t>Terrifying | Difficulty - Low (Appears on 7-10) | Health 10</t>
  </si>
  <si>
    <t>Terrifying | Difficulty - Medium (Appears on 6-10) | Health - 8</t>
  </si>
  <si>
    <t>Terrifying | Difficulty - High (Appears on 5-10) | Health - 8</t>
  </si>
  <si>
    <t>Very Scary | Difficulty - Medium (Appears on 6-10) | Health - 8</t>
  </si>
  <si>
    <t>Scary | Difficulty - Medium (Appears on 6-10) | Health - 8</t>
  </si>
  <si>
    <t>Scary | Difficulty - Medium (Appears on 6-10) | Health - 10</t>
  </si>
  <si>
    <t>Terrifying | Difficulty - Low (Appears on 7-10) | Health - 6.</t>
  </si>
  <si>
    <t>Carry 2 extra items (5 total). Does not count toward your carry limit</t>
  </si>
  <si>
    <t>Carry 1 extra item (4 total). Does not count toward your carry limit</t>
  </si>
  <si>
    <t>Choose a room. The next player to enter must make the Killer roll immediately on entry.</t>
  </si>
  <si>
    <t>Choose a player to get -2 on their next Run or Fight</t>
  </si>
  <si>
    <t>Choose a player to get +2 on their next Search</t>
  </si>
  <si>
    <t>Choose a player to immediately leave their room into the hallway</t>
  </si>
  <si>
    <t>Choose a room. All players in the chosen room drop their items.</t>
  </si>
  <si>
    <t xml:space="preserve">You win if the group fails to meet its VP threshold.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</si>
</sst>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2E6"/>
        <bgColor rgb="FFFDE8E8"/>
      </patternFill>
    </fill>
    <fill>
      <patternFill patternType="solid">
        <fgColor rgb="FFEAE6FF"/>
        <bgColor rgb="FFE6F0FA"/>
      </patternFill>
    </fill>
    <fill>
      <patternFill patternType="solid">
        <fgColor rgb="FFE6F4EA"/>
        <bgColor rgb="FFE6F0FA"/>
      </patternFill>
    </fill>
    <fill>
      <patternFill patternType="solid">
        <fgColor rgb="FFFDE8E8"/>
        <bgColor rgb="FFFFF2E6"/>
      </patternFill>
    </fill>
    <fill>
      <patternFill patternType="solid">
        <fgColor rgb="FFE6F0FA"/>
        <bgColor rgb="FFE6F4EA"/>
      </patternFill>
    </fill>
    <fill>
      <patternFill patternType="solid">
        <fgColor rgb="FFF2F2F2"/>
        <bgColor rgb="FFE6F4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2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E6"/>
      <rgbColor rgb="FFE6F4EA"/>
      <rgbColor rgb="FF660066"/>
      <rgbColor rgb="FFFF8080"/>
      <rgbColor rgb="FF0066CC"/>
      <rgbColor rgb="FFEA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A"/>
      <rgbColor rgb="FFF2F2F2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zoomScaleNormal="100" workbookViewId="0">
      <pane ySplit="1" topLeftCell="A74" activePane="bottomLeft" state="frozen"/>
      <selection pane="bottomLeft" activeCell="D86" sqref="D86"/>
    </sheetView>
  </sheetViews>
  <sheetFormatPr defaultColWidth="8.7109375" defaultRowHeight="15" x14ac:dyDescent="0.25"/>
  <cols>
    <col min="1" max="1" width="8" customWidth="1"/>
    <col min="2" max="2" width="17" customWidth="1"/>
    <col min="3" max="3" width="26" customWidth="1"/>
    <col min="4" max="4" width="74" customWidth="1"/>
    <col min="5" max="5" width="15" customWidth="1"/>
    <col min="6" max="6" width="9" customWidth="1"/>
  </cols>
  <sheetData>
    <row r="1" spans="1:6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4" t="s">
        <v>7</v>
      </c>
      <c r="D2" s="5" t="s">
        <v>139</v>
      </c>
      <c r="E2" s="6" t="s">
        <v>8</v>
      </c>
      <c r="F2" s="2" t="s">
        <v>9</v>
      </c>
    </row>
    <row r="3" spans="1:6" x14ac:dyDescent="0.25">
      <c r="A3" s="2">
        <v>2</v>
      </c>
      <c r="B3" s="3" t="s">
        <v>6</v>
      </c>
      <c r="C3" s="4" t="s">
        <v>10</v>
      </c>
      <c r="D3" s="5" t="s">
        <v>113</v>
      </c>
      <c r="E3" s="6" t="s">
        <v>11</v>
      </c>
      <c r="F3" s="2" t="s">
        <v>12</v>
      </c>
    </row>
    <row r="4" spans="1:6" x14ac:dyDescent="0.25">
      <c r="A4" s="2">
        <v>3</v>
      </c>
      <c r="B4" s="3" t="s">
        <v>6</v>
      </c>
      <c r="C4" s="4" t="s">
        <v>10</v>
      </c>
      <c r="D4" s="5" t="s">
        <v>113</v>
      </c>
      <c r="E4" s="6" t="s">
        <v>11</v>
      </c>
      <c r="F4" s="2" t="s">
        <v>13</v>
      </c>
    </row>
    <row r="5" spans="1:6" x14ac:dyDescent="0.25">
      <c r="A5" s="2">
        <v>4</v>
      </c>
      <c r="B5" s="3" t="s">
        <v>6</v>
      </c>
      <c r="C5" s="4" t="s">
        <v>10</v>
      </c>
      <c r="D5" s="5" t="s">
        <v>113</v>
      </c>
      <c r="E5" s="6" t="s">
        <v>11</v>
      </c>
      <c r="F5" s="2" t="s">
        <v>14</v>
      </c>
    </row>
    <row r="6" spans="1:6" x14ac:dyDescent="0.25">
      <c r="A6" s="2">
        <v>5</v>
      </c>
      <c r="B6" s="3" t="s">
        <v>6</v>
      </c>
      <c r="C6" s="4" t="s">
        <v>15</v>
      </c>
      <c r="D6" s="5" t="s">
        <v>121</v>
      </c>
      <c r="E6" s="6" t="s">
        <v>16</v>
      </c>
      <c r="F6" s="2" t="s">
        <v>12</v>
      </c>
    </row>
    <row r="7" spans="1:6" x14ac:dyDescent="0.25">
      <c r="A7" s="2">
        <v>6</v>
      </c>
      <c r="B7" s="3" t="s">
        <v>6</v>
      </c>
      <c r="C7" s="4" t="s">
        <v>15</v>
      </c>
      <c r="D7" s="5" t="s">
        <v>121</v>
      </c>
      <c r="E7" s="6" t="s">
        <v>16</v>
      </c>
      <c r="F7" s="2" t="s">
        <v>13</v>
      </c>
    </row>
    <row r="8" spans="1:6" x14ac:dyDescent="0.25">
      <c r="A8" s="2">
        <v>7</v>
      </c>
      <c r="B8" s="3" t="s">
        <v>6</v>
      </c>
      <c r="C8" s="4" t="s">
        <v>15</v>
      </c>
      <c r="D8" s="5" t="s">
        <v>121</v>
      </c>
      <c r="E8" s="6" t="s">
        <v>16</v>
      </c>
      <c r="F8" s="2" t="s">
        <v>14</v>
      </c>
    </row>
    <row r="9" spans="1:6" x14ac:dyDescent="0.25">
      <c r="A9" s="2">
        <v>8</v>
      </c>
      <c r="B9" s="3" t="s">
        <v>6</v>
      </c>
      <c r="C9" s="4" t="s">
        <v>17</v>
      </c>
      <c r="D9" s="5" t="s">
        <v>113</v>
      </c>
      <c r="E9" s="6" t="s">
        <v>11</v>
      </c>
      <c r="F9" s="2" t="s">
        <v>12</v>
      </c>
    </row>
    <row r="10" spans="1:6" x14ac:dyDescent="0.25">
      <c r="A10" s="2">
        <v>9</v>
      </c>
      <c r="B10" s="3" t="s">
        <v>6</v>
      </c>
      <c r="C10" s="4" t="s">
        <v>17</v>
      </c>
      <c r="D10" s="5" t="s">
        <v>113</v>
      </c>
      <c r="E10" s="6" t="s">
        <v>11</v>
      </c>
      <c r="F10" s="2" t="s">
        <v>13</v>
      </c>
    </row>
    <row r="11" spans="1:6" x14ac:dyDescent="0.25">
      <c r="A11" s="2">
        <v>10</v>
      </c>
      <c r="B11" s="3" t="s">
        <v>6</v>
      </c>
      <c r="C11" s="4" t="s">
        <v>17</v>
      </c>
      <c r="D11" s="5" t="s">
        <v>113</v>
      </c>
      <c r="E11" s="6" t="s">
        <v>11</v>
      </c>
      <c r="F11" s="2" t="s">
        <v>14</v>
      </c>
    </row>
    <row r="12" spans="1:6" x14ac:dyDescent="0.25">
      <c r="A12" s="2">
        <v>11</v>
      </c>
      <c r="B12" s="3" t="s">
        <v>6</v>
      </c>
      <c r="C12" s="4" t="s">
        <v>18</v>
      </c>
      <c r="D12" s="22" t="s">
        <v>117</v>
      </c>
      <c r="E12" s="6" t="s">
        <v>19</v>
      </c>
      <c r="F12" s="2" t="s">
        <v>9</v>
      </c>
    </row>
    <row r="13" spans="1:6" x14ac:dyDescent="0.25">
      <c r="A13" s="2">
        <v>12</v>
      </c>
      <c r="B13" s="3" t="s">
        <v>6</v>
      </c>
      <c r="C13" s="4" t="s">
        <v>20</v>
      </c>
      <c r="D13" s="5" t="s">
        <v>114</v>
      </c>
      <c r="E13" s="6" t="s">
        <v>11</v>
      </c>
      <c r="F13" s="2" t="s">
        <v>21</v>
      </c>
    </row>
    <row r="14" spans="1:6" x14ac:dyDescent="0.25">
      <c r="A14" s="2">
        <v>13</v>
      </c>
      <c r="B14" s="3" t="s">
        <v>6</v>
      </c>
      <c r="C14" s="4" t="s">
        <v>20</v>
      </c>
      <c r="D14" s="5" t="s">
        <v>114</v>
      </c>
      <c r="E14" s="6" t="s">
        <v>11</v>
      </c>
      <c r="F14" s="2" t="s">
        <v>22</v>
      </c>
    </row>
    <row r="15" spans="1:6" x14ac:dyDescent="0.25">
      <c r="A15" s="2">
        <v>14</v>
      </c>
      <c r="B15" s="3" t="s">
        <v>6</v>
      </c>
      <c r="C15" s="4" t="s">
        <v>23</v>
      </c>
      <c r="D15" s="5" t="s">
        <v>122</v>
      </c>
      <c r="E15" s="6" t="s">
        <v>16</v>
      </c>
      <c r="F15" s="2" t="s">
        <v>21</v>
      </c>
    </row>
    <row r="16" spans="1:6" x14ac:dyDescent="0.25">
      <c r="A16" s="2">
        <v>15</v>
      </c>
      <c r="B16" s="3" t="s">
        <v>6</v>
      </c>
      <c r="C16" s="4" t="s">
        <v>23</v>
      </c>
      <c r="D16" s="5" t="s">
        <v>122</v>
      </c>
      <c r="E16" s="6" t="s">
        <v>16</v>
      </c>
      <c r="F16" s="2" t="s">
        <v>22</v>
      </c>
    </row>
    <row r="17" spans="1:6" x14ac:dyDescent="0.25">
      <c r="A17" s="2">
        <v>16</v>
      </c>
      <c r="B17" s="3" t="s">
        <v>6</v>
      </c>
      <c r="C17" s="4" t="s">
        <v>24</v>
      </c>
      <c r="D17" s="22" t="s">
        <v>120</v>
      </c>
      <c r="E17" s="6" t="s">
        <v>25</v>
      </c>
      <c r="F17" s="2" t="s">
        <v>21</v>
      </c>
    </row>
    <row r="18" spans="1:6" x14ac:dyDescent="0.25">
      <c r="A18" s="2">
        <v>17</v>
      </c>
      <c r="B18" s="3" t="s">
        <v>6</v>
      </c>
      <c r="C18" s="4" t="s">
        <v>24</v>
      </c>
      <c r="D18" s="22" t="s">
        <v>120</v>
      </c>
      <c r="E18" s="6" t="s">
        <v>25</v>
      </c>
      <c r="F18" s="2" t="s">
        <v>22</v>
      </c>
    </row>
    <row r="19" spans="1:6" x14ac:dyDescent="0.25">
      <c r="A19" s="2">
        <v>18</v>
      </c>
      <c r="B19" s="3" t="s">
        <v>6</v>
      </c>
      <c r="C19" s="4" t="s">
        <v>26</v>
      </c>
      <c r="D19" s="5" t="s">
        <v>27</v>
      </c>
      <c r="E19" s="6" t="s">
        <v>16</v>
      </c>
      <c r="F19" s="2" t="s">
        <v>12</v>
      </c>
    </row>
    <row r="20" spans="1:6" x14ac:dyDescent="0.25">
      <c r="A20" s="2">
        <v>19</v>
      </c>
      <c r="B20" s="3" t="s">
        <v>6</v>
      </c>
      <c r="C20" s="4" t="s">
        <v>26</v>
      </c>
      <c r="D20" s="5" t="s">
        <v>27</v>
      </c>
      <c r="E20" s="6" t="s">
        <v>16</v>
      </c>
      <c r="F20" s="2" t="s">
        <v>13</v>
      </c>
    </row>
    <row r="21" spans="1:6" x14ac:dyDescent="0.25">
      <c r="A21" s="2">
        <v>20</v>
      </c>
      <c r="B21" s="3" t="s">
        <v>6</v>
      </c>
      <c r="C21" s="4" t="s">
        <v>26</v>
      </c>
      <c r="D21" s="5" t="s">
        <v>27</v>
      </c>
      <c r="E21" s="6" t="s">
        <v>16</v>
      </c>
      <c r="F21" s="2" t="s">
        <v>14</v>
      </c>
    </row>
    <row r="22" spans="1:6" x14ac:dyDescent="0.25">
      <c r="A22" s="2">
        <v>21</v>
      </c>
      <c r="B22" s="3" t="s">
        <v>6</v>
      </c>
      <c r="C22" s="4" t="s">
        <v>28</v>
      </c>
      <c r="D22" s="5" t="s">
        <v>29</v>
      </c>
      <c r="E22" s="6" t="s">
        <v>19</v>
      </c>
      <c r="F22" s="2" t="s">
        <v>9</v>
      </c>
    </row>
    <row r="23" spans="1:6" x14ac:dyDescent="0.25">
      <c r="A23" s="2">
        <v>22</v>
      </c>
      <c r="B23" s="3" t="s">
        <v>6</v>
      </c>
      <c r="C23" s="4" t="s">
        <v>30</v>
      </c>
      <c r="D23" s="5" t="s">
        <v>31</v>
      </c>
      <c r="E23" s="6" t="s">
        <v>16</v>
      </c>
      <c r="F23" s="2" t="s">
        <v>12</v>
      </c>
    </row>
    <row r="24" spans="1:6" x14ac:dyDescent="0.25">
      <c r="A24" s="2">
        <v>23</v>
      </c>
      <c r="B24" s="3" t="s">
        <v>6</v>
      </c>
      <c r="C24" s="4" t="s">
        <v>30</v>
      </c>
      <c r="D24" s="5" t="s">
        <v>31</v>
      </c>
      <c r="E24" s="6" t="s">
        <v>16</v>
      </c>
      <c r="F24" s="2" t="s">
        <v>13</v>
      </c>
    </row>
    <row r="25" spans="1:6" x14ac:dyDescent="0.25">
      <c r="A25" s="2">
        <v>24</v>
      </c>
      <c r="B25" s="3" t="s">
        <v>6</v>
      </c>
      <c r="C25" s="4" t="s">
        <v>30</v>
      </c>
      <c r="D25" s="5" t="s">
        <v>31</v>
      </c>
      <c r="E25" s="6" t="s">
        <v>16</v>
      </c>
      <c r="F25" s="2" t="s">
        <v>14</v>
      </c>
    </row>
    <row r="26" spans="1:6" x14ac:dyDescent="0.25">
      <c r="A26" s="2">
        <v>25</v>
      </c>
      <c r="B26" s="3" t="s">
        <v>6</v>
      </c>
      <c r="C26" s="4" t="s">
        <v>32</v>
      </c>
      <c r="D26" s="22" t="s">
        <v>120</v>
      </c>
      <c r="E26" s="6" t="s">
        <v>25</v>
      </c>
      <c r="F26" s="2" t="s">
        <v>21</v>
      </c>
    </row>
    <row r="27" spans="1:6" x14ac:dyDescent="0.25">
      <c r="A27" s="2">
        <v>26</v>
      </c>
      <c r="B27" s="3" t="s">
        <v>6</v>
      </c>
      <c r="C27" s="4" t="s">
        <v>32</v>
      </c>
      <c r="D27" s="22" t="s">
        <v>120</v>
      </c>
      <c r="E27" s="6" t="s">
        <v>25</v>
      </c>
      <c r="F27" s="2" t="s">
        <v>22</v>
      </c>
    </row>
    <row r="28" spans="1:6" x14ac:dyDescent="0.25">
      <c r="A28" s="2">
        <v>27</v>
      </c>
      <c r="B28" s="3" t="s">
        <v>6</v>
      </c>
      <c r="C28" s="4" t="s">
        <v>33</v>
      </c>
      <c r="D28" s="5" t="s">
        <v>115</v>
      </c>
      <c r="E28" s="6" t="s">
        <v>11</v>
      </c>
      <c r="F28" s="2" t="s">
        <v>21</v>
      </c>
    </row>
    <row r="29" spans="1:6" x14ac:dyDescent="0.25">
      <c r="A29" s="2">
        <v>28</v>
      </c>
      <c r="B29" s="3" t="s">
        <v>6</v>
      </c>
      <c r="C29" s="4" t="s">
        <v>33</v>
      </c>
      <c r="D29" s="5" t="s">
        <v>115</v>
      </c>
      <c r="E29" s="6" t="s">
        <v>11</v>
      </c>
      <c r="F29" s="2" t="s">
        <v>22</v>
      </c>
    </row>
    <row r="30" spans="1:6" x14ac:dyDescent="0.25">
      <c r="A30" s="2">
        <v>29</v>
      </c>
      <c r="B30" s="3" t="s">
        <v>6</v>
      </c>
      <c r="C30" s="4" t="s">
        <v>34</v>
      </c>
      <c r="D30" s="5" t="s">
        <v>116</v>
      </c>
      <c r="E30" s="6" t="s">
        <v>11</v>
      </c>
      <c r="F30" s="2" t="s">
        <v>21</v>
      </c>
    </row>
    <row r="31" spans="1:6" x14ac:dyDescent="0.25">
      <c r="A31" s="2">
        <v>30</v>
      </c>
      <c r="B31" s="3" t="s">
        <v>6</v>
      </c>
      <c r="C31" s="4" t="s">
        <v>34</v>
      </c>
      <c r="D31" s="5" t="s">
        <v>116</v>
      </c>
      <c r="E31" s="6" t="s">
        <v>11</v>
      </c>
      <c r="F31" s="2" t="s">
        <v>22</v>
      </c>
    </row>
    <row r="32" spans="1:6" ht="25.5" x14ac:dyDescent="0.25">
      <c r="A32" s="2">
        <v>31</v>
      </c>
      <c r="B32" s="3" t="s">
        <v>6</v>
      </c>
      <c r="C32" s="4" t="s">
        <v>35</v>
      </c>
      <c r="D32" s="5" t="s">
        <v>118</v>
      </c>
      <c r="E32" s="6" t="s">
        <v>36</v>
      </c>
      <c r="F32" s="2" t="s">
        <v>21</v>
      </c>
    </row>
    <row r="33" spans="1:6" ht="25.5" x14ac:dyDescent="0.25">
      <c r="A33" s="2">
        <v>32</v>
      </c>
      <c r="B33" s="3" t="s">
        <v>6</v>
      </c>
      <c r="C33" s="4" t="s">
        <v>35</v>
      </c>
      <c r="D33" s="5" t="s">
        <v>118</v>
      </c>
      <c r="E33" s="6" t="s">
        <v>36</v>
      </c>
      <c r="F33" s="2" t="s">
        <v>22</v>
      </c>
    </row>
    <row r="34" spans="1:6" x14ac:dyDescent="0.25">
      <c r="A34" s="2">
        <v>33</v>
      </c>
      <c r="B34" s="3" t="s">
        <v>6</v>
      </c>
      <c r="C34" s="4" t="s">
        <v>37</v>
      </c>
      <c r="D34" s="5" t="s">
        <v>38</v>
      </c>
      <c r="E34" s="6" t="s">
        <v>19</v>
      </c>
      <c r="F34" s="2" t="s">
        <v>9</v>
      </c>
    </row>
    <row r="35" spans="1:6" x14ac:dyDescent="0.25">
      <c r="A35" s="2">
        <v>34</v>
      </c>
      <c r="B35" s="3" t="s">
        <v>6</v>
      </c>
      <c r="C35" s="4" t="s">
        <v>39</v>
      </c>
      <c r="D35" s="5" t="s">
        <v>140</v>
      </c>
      <c r="E35" s="6" t="s">
        <v>8</v>
      </c>
      <c r="F35" s="2" t="s">
        <v>9</v>
      </c>
    </row>
    <row r="36" spans="1:6" x14ac:dyDescent="0.25">
      <c r="A36" s="2">
        <v>35</v>
      </c>
      <c r="B36" s="3" t="s">
        <v>6</v>
      </c>
      <c r="C36" s="4" t="s">
        <v>40</v>
      </c>
      <c r="D36" s="5" t="s">
        <v>41</v>
      </c>
      <c r="E36" s="6" t="s">
        <v>36</v>
      </c>
      <c r="F36" s="2" t="s">
        <v>21</v>
      </c>
    </row>
    <row r="37" spans="1:6" x14ac:dyDescent="0.25">
      <c r="A37" s="2">
        <v>36</v>
      </c>
      <c r="B37" s="3" t="s">
        <v>6</v>
      </c>
      <c r="C37" s="4" t="s">
        <v>40</v>
      </c>
      <c r="D37" s="5" t="s">
        <v>41</v>
      </c>
      <c r="E37" s="6" t="s">
        <v>36</v>
      </c>
      <c r="F37" s="2" t="s">
        <v>22</v>
      </c>
    </row>
    <row r="38" spans="1:6" x14ac:dyDescent="0.25">
      <c r="A38" s="2">
        <v>37</v>
      </c>
      <c r="B38" s="3" t="s">
        <v>6</v>
      </c>
      <c r="C38" s="4" t="s">
        <v>42</v>
      </c>
      <c r="D38" s="5" t="s">
        <v>41</v>
      </c>
      <c r="E38" s="6" t="s">
        <v>36</v>
      </c>
      <c r="F38" s="2" t="s">
        <v>21</v>
      </c>
    </row>
    <row r="39" spans="1:6" x14ac:dyDescent="0.25">
      <c r="A39" s="2">
        <v>38</v>
      </c>
      <c r="B39" s="3" t="s">
        <v>6</v>
      </c>
      <c r="C39" s="4" t="s">
        <v>42</v>
      </c>
      <c r="D39" s="5" t="s">
        <v>41</v>
      </c>
      <c r="E39" s="6" t="s">
        <v>36</v>
      </c>
      <c r="F39" s="2" t="s">
        <v>22</v>
      </c>
    </row>
    <row r="40" spans="1:6" x14ac:dyDescent="0.25">
      <c r="A40" s="2">
        <v>39</v>
      </c>
      <c r="B40" s="3" t="s">
        <v>6</v>
      </c>
      <c r="C40" s="4" t="s">
        <v>43</v>
      </c>
      <c r="D40" s="5" t="s">
        <v>116</v>
      </c>
      <c r="E40" s="6" t="s">
        <v>11</v>
      </c>
      <c r="F40" s="2" t="s">
        <v>21</v>
      </c>
    </row>
    <row r="41" spans="1:6" x14ac:dyDescent="0.25">
      <c r="A41" s="2">
        <v>40</v>
      </c>
      <c r="B41" s="3" t="s">
        <v>6</v>
      </c>
      <c r="C41" s="4" t="s">
        <v>43</v>
      </c>
      <c r="D41" s="5" t="s">
        <v>116</v>
      </c>
      <c r="E41" s="6" t="s">
        <v>11</v>
      </c>
      <c r="F41" s="2" t="s">
        <v>22</v>
      </c>
    </row>
    <row r="42" spans="1:6" ht="25.5" x14ac:dyDescent="0.25">
      <c r="A42" s="2">
        <v>41</v>
      </c>
      <c r="B42" s="3" t="s">
        <v>6</v>
      </c>
      <c r="C42" s="4" t="s">
        <v>44</v>
      </c>
      <c r="D42" s="5" t="s">
        <v>118</v>
      </c>
      <c r="E42" s="6" t="s">
        <v>36</v>
      </c>
      <c r="F42" s="2" t="s">
        <v>21</v>
      </c>
    </row>
    <row r="43" spans="1:6" ht="25.5" x14ac:dyDescent="0.25">
      <c r="A43" s="2">
        <v>42</v>
      </c>
      <c r="B43" s="3" t="s">
        <v>6</v>
      </c>
      <c r="C43" s="4" t="s">
        <v>44</v>
      </c>
      <c r="D43" s="5" t="s">
        <v>118</v>
      </c>
      <c r="E43" s="6" t="s">
        <v>36</v>
      </c>
      <c r="F43" s="2" t="s">
        <v>22</v>
      </c>
    </row>
    <row r="44" spans="1:6" x14ac:dyDescent="0.25">
      <c r="A44" s="2">
        <v>43</v>
      </c>
      <c r="B44" s="3" t="s">
        <v>6</v>
      </c>
      <c r="C44" s="4" t="s">
        <v>45</v>
      </c>
      <c r="D44" s="5" t="s">
        <v>46</v>
      </c>
      <c r="E44" s="6" t="s">
        <v>25</v>
      </c>
      <c r="F44" s="2" t="s">
        <v>21</v>
      </c>
    </row>
    <row r="45" spans="1:6" x14ac:dyDescent="0.25">
      <c r="A45" s="2">
        <v>44</v>
      </c>
      <c r="B45" s="3" t="s">
        <v>6</v>
      </c>
      <c r="C45" s="4" t="s">
        <v>45</v>
      </c>
      <c r="D45" s="5" t="s">
        <v>46</v>
      </c>
      <c r="E45" s="6" t="s">
        <v>25</v>
      </c>
      <c r="F45" s="2" t="s">
        <v>22</v>
      </c>
    </row>
    <row r="46" spans="1:6" ht="25.5" x14ac:dyDescent="0.25">
      <c r="A46" s="2">
        <v>45</v>
      </c>
      <c r="B46" s="7" t="s">
        <v>47</v>
      </c>
      <c r="C46" s="4" t="s">
        <v>48</v>
      </c>
      <c r="D46" s="5" t="s">
        <v>141</v>
      </c>
      <c r="E46" s="6" t="s">
        <v>49</v>
      </c>
      <c r="F46" s="2" t="s">
        <v>21</v>
      </c>
    </row>
    <row r="47" spans="1:6" ht="25.5" x14ac:dyDescent="0.25">
      <c r="A47" s="2">
        <v>46</v>
      </c>
      <c r="B47" s="7" t="s">
        <v>47</v>
      </c>
      <c r="C47" s="4" t="s">
        <v>48</v>
      </c>
      <c r="D47" s="5" t="s">
        <v>141</v>
      </c>
      <c r="E47" s="6" t="s">
        <v>49</v>
      </c>
      <c r="F47" s="2" t="s">
        <v>22</v>
      </c>
    </row>
    <row r="48" spans="1:6" ht="25.5" x14ac:dyDescent="0.25">
      <c r="A48" s="2">
        <v>47</v>
      </c>
      <c r="B48" s="7" t="s">
        <v>47</v>
      </c>
      <c r="C48" s="4" t="s">
        <v>50</v>
      </c>
      <c r="D48" s="5" t="s">
        <v>51</v>
      </c>
      <c r="E48" s="6" t="s">
        <v>49</v>
      </c>
      <c r="F48" s="2" t="s">
        <v>52</v>
      </c>
    </row>
    <row r="49" spans="1:6" ht="25.5" x14ac:dyDescent="0.25">
      <c r="A49" s="2">
        <v>48</v>
      </c>
      <c r="B49" s="7" t="s">
        <v>47</v>
      </c>
      <c r="C49" s="4" t="s">
        <v>50</v>
      </c>
      <c r="D49" s="5" t="s">
        <v>51</v>
      </c>
      <c r="E49" s="6" t="s">
        <v>49</v>
      </c>
      <c r="F49" s="2" t="s">
        <v>53</v>
      </c>
    </row>
    <row r="50" spans="1:6" ht="25.5" x14ac:dyDescent="0.25">
      <c r="A50" s="2">
        <v>49</v>
      </c>
      <c r="B50" s="7" t="s">
        <v>47</v>
      </c>
      <c r="C50" s="4" t="s">
        <v>50</v>
      </c>
      <c r="D50" s="5" t="s">
        <v>51</v>
      </c>
      <c r="E50" s="6" t="s">
        <v>49</v>
      </c>
      <c r="F50" s="2" t="s">
        <v>54</v>
      </c>
    </row>
    <row r="51" spans="1:6" ht="25.5" x14ac:dyDescent="0.25">
      <c r="A51" s="2">
        <v>50</v>
      </c>
      <c r="B51" s="7" t="s">
        <v>47</v>
      </c>
      <c r="C51" s="4" t="s">
        <v>50</v>
      </c>
      <c r="D51" s="5" t="s">
        <v>51</v>
      </c>
      <c r="E51" s="6" t="s">
        <v>49</v>
      </c>
      <c r="F51" s="2" t="s">
        <v>55</v>
      </c>
    </row>
    <row r="52" spans="1:6" ht="25.5" x14ac:dyDescent="0.25">
      <c r="A52" s="2">
        <v>51</v>
      </c>
      <c r="B52" s="7" t="s">
        <v>47</v>
      </c>
      <c r="C52" s="4" t="s">
        <v>56</v>
      </c>
      <c r="D52" s="5" t="s">
        <v>57</v>
      </c>
      <c r="E52" s="6" t="s">
        <v>58</v>
      </c>
      <c r="F52" s="2" t="s">
        <v>21</v>
      </c>
    </row>
    <row r="53" spans="1:6" ht="25.5" x14ac:dyDescent="0.25">
      <c r="A53" s="2">
        <v>52</v>
      </c>
      <c r="B53" s="7" t="s">
        <v>47</v>
      </c>
      <c r="C53" s="4" t="s">
        <v>56</v>
      </c>
      <c r="D53" s="5" t="s">
        <v>57</v>
      </c>
      <c r="E53" s="6" t="s">
        <v>58</v>
      </c>
      <c r="F53" s="2" t="s">
        <v>22</v>
      </c>
    </row>
    <row r="54" spans="1:6" ht="25.5" x14ac:dyDescent="0.25">
      <c r="A54" s="2">
        <v>53</v>
      </c>
      <c r="B54" s="7" t="s">
        <v>47</v>
      </c>
      <c r="C54" s="4" t="s">
        <v>59</v>
      </c>
      <c r="D54" s="5" t="s">
        <v>60</v>
      </c>
      <c r="E54" s="6" t="s">
        <v>49</v>
      </c>
      <c r="F54" s="2" t="s">
        <v>52</v>
      </c>
    </row>
    <row r="55" spans="1:6" ht="25.5" x14ac:dyDescent="0.25">
      <c r="A55" s="2">
        <v>54</v>
      </c>
      <c r="B55" s="7" t="s">
        <v>47</v>
      </c>
      <c r="C55" s="4" t="s">
        <v>59</v>
      </c>
      <c r="D55" s="5" t="s">
        <v>60</v>
      </c>
      <c r="E55" s="6" t="s">
        <v>49</v>
      </c>
      <c r="F55" s="2" t="s">
        <v>53</v>
      </c>
    </row>
    <row r="56" spans="1:6" ht="25.5" x14ac:dyDescent="0.25">
      <c r="A56" s="2">
        <v>55</v>
      </c>
      <c r="B56" s="7" t="s">
        <v>47</v>
      </c>
      <c r="C56" s="4" t="s">
        <v>59</v>
      </c>
      <c r="D56" s="5" t="s">
        <v>60</v>
      </c>
      <c r="E56" s="6" t="s">
        <v>49</v>
      </c>
      <c r="F56" s="2" t="s">
        <v>54</v>
      </c>
    </row>
    <row r="57" spans="1:6" ht="25.5" x14ac:dyDescent="0.25">
      <c r="A57" s="2">
        <v>56</v>
      </c>
      <c r="B57" s="7" t="s">
        <v>47</v>
      </c>
      <c r="C57" s="4" t="s">
        <v>59</v>
      </c>
      <c r="D57" s="5" t="s">
        <v>60</v>
      </c>
      <c r="E57" s="6" t="s">
        <v>49</v>
      </c>
      <c r="F57" s="2" t="s">
        <v>55</v>
      </c>
    </row>
    <row r="58" spans="1:6" x14ac:dyDescent="0.25">
      <c r="A58" s="2">
        <v>57</v>
      </c>
      <c r="B58" s="7" t="s">
        <v>47</v>
      </c>
      <c r="C58" s="4" t="s">
        <v>61</v>
      </c>
      <c r="D58" s="5" t="s">
        <v>142</v>
      </c>
      <c r="E58" s="6" t="s">
        <v>62</v>
      </c>
      <c r="F58" s="2" t="s">
        <v>21</v>
      </c>
    </row>
    <row r="59" spans="1:6" x14ac:dyDescent="0.25">
      <c r="A59" s="2">
        <v>58</v>
      </c>
      <c r="B59" s="7" t="s">
        <v>47</v>
      </c>
      <c r="C59" s="4" t="s">
        <v>61</v>
      </c>
      <c r="D59" s="5" t="s">
        <v>142</v>
      </c>
      <c r="E59" s="6" t="s">
        <v>62</v>
      </c>
      <c r="F59" s="2" t="s">
        <v>22</v>
      </c>
    </row>
    <row r="60" spans="1:6" x14ac:dyDescent="0.25">
      <c r="A60" s="2">
        <v>59</v>
      </c>
      <c r="B60" s="7" t="s">
        <v>47</v>
      </c>
      <c r="C60" s="4" t="s">
        <v>63</v>
      </c>
      <c r="D60" s="5" t="s">
        <v>64</v>
      </c>
      <c r="E60" s="6" t="s">
        <v>58</v>
      </c>
      <c r="F60" s="2" t="s">
        <v>21</v>
      </c>
    </row>
    <row r="61" spans="1:6" x14ac:dyDescent="0.25">
      <c r="A61" s="2">
        <v>60</v>
      </c>
      <c r="B61" s="7" t="s">
        <v>47</v>
      </c>
      <c r="C61" s="4" t="s">
        <v>63</v>
      </c>
      <c r="D61" s="5" t="s">
        <v>64</v>
      </c>
      <c r="E61" s="6" t="s">
        <v>58</v>
      </c>
      <c r="F61" s="2" t="s">
        <v>22</v>
      </c>
    </row>
    <row r="62" spans="1:6" x14ac:dyDescent="0.25">
      <c r="A62" s="2">
        <v>61</v>
      </c>
      <c r="B62" s="7" t="s">
        <v>47</v>
      </c>
      <c r="C62" s="4" t="s">
        <v>65</v>
      </c>
      <c r="D62" s="5" t="s">
        <v>66</v>
      </c>
      <c r="E62" s="6" t="s">
        <v>58</v>
      </c>
      <c r="F62" s="2" t="s">
        <v>21</v>
      </c>
    </row>
    <row r="63" spans="1:6" x14ac:dyDescent="0.25">
      <c r="A63" s="2">
        <v>62</v>
      </c>
      <c r="B63" s="7" t="s">
        <v>47</v>
      </c>
      <c r="C63" s="4" t="s">
        <v>65</v>
      </c>
      <c r="D63" s="5" t="s">
        <v>66</v>
      </c>
      <c r="E63" s="6" t="s">
        <v>58</v>
      </c>
      <c r="F63" s="2" t="s">
        <v>22</v>
      </c>
    </row>
    <row r="64" spans="1:6" x14ac:dyDescent="0.25">
      <c r="A64" s="2">
        <v>63</v>
      </c>
      <c r="B64" s="7" t="s">
        <v>47</v>
      </c>
      <c r="C64" s="4" t="s">
        <v>67</v>
      </c>
      <c r="D64" s="5" t="s">
        <v>119</v>
      </c>
      <c r="E64" s="6" t="s">
        <v>68</v>
      </c>
      <c r="F64" s="2" t="s">
        <v>52</v>
      </c>
    </row>
    <row r="65" spans="1:6" x14ac:dyDescent="0.25">
      <c r="A65" s="2">
        <v>64</v>
      </c>
      <c r="B65" s="7" t="s">
        <v>47</v>
      </c>
      <c r="C65" s="4" t="s">
        <v>67</v>
      </c>
      <c r="D65" s="5" t="s">
        <v>119</v>
      </c>
      <c r="E65" s="6" t="s">
        <v>68</v>
      </c>
      <c r="F65" s="2" t="s">
        <v>53</v>
      </c>
    </row>
    <row r="66" spans="1:6" x14ac:dyDescent="0.25">
      <c r="A66" s="2">
        <v>65</v>
      </c>
      <c r="B66" s="7" t="s">
        <v>47</v>
      </c>
      <c r="C66" s="4" t="s">
        <v>67</v>
      </c>
      <c r="D66" s="5" t="s">
        <v>119</v>
      </c>
      <c r="E66" s="6" t="s">
        <v>68</v>
      </c>
      <c r="F66" s="2" t="s">
        <v>54</v>
      </c>
    </row>
    <row r="67" spans="1:6" x14ac:dyDescent="0.25">
      <c r="A67" s="2">
        <v>66</v>
      </c>
      <c r="B67" s="7" t="s">
        <v>47</v>
      </c>
      <c r="C67" s="4" t="s">
        <v>67</v>
      </c>
      <c r="D67" s="5" t="s">
        <v>119</v>
      </c>
      <c r="E67" s="6" t="s">
        <v>68</v>
      </c>
      <c r="F67" s="2" t="s">
        <v>55</v>
      </c>
    </row>
    <row r="68" spans="1:6" x14ac:dyDescent="0.25">
      <c r="A68" s="2">
        <v>67</v>
      </c>
      <c r="B68" s="7" t="s">
        <v>47</v>
      </c>
      <c r="C68" s="4" t="s">
        <v>69</v>
      </c>
      <c r="D68" s="5" t="s">
        <v>70</v>
      </c>
      <c r="E68" s="6" t="s">
        <v>49</v>
      </c>
      <c r="F68" s="2" t="s">
        <v>9</v>
      </c>
    </row>
    <row r="69" spans="1:6" x14ac:dyDescent="0.25">
      <c r="A69" s="2">
        <v>68</v>
      </c>
      <c r="B69" s="7" t="s">
        <v>47</v>
      </c>
      <c r="C69" s="4" t="s">
        <v>71</v>
      </c>
      <c r="D69" s="5" t="s">
        <v>143</v>
      </c>
      <c r="E69" s="6" t="s">
        <v>62</v>
      </c>
      <c r="F69" s="2" t="s">
        <v>21</v>
      </c>
    </row>
    <row r="70" spans="1:6" x14ac:dyDescent="0.25">
      <c r="A70" s="2">
        <v>69</v>
      </c>
      <c r="B70" s="7" t="s">
        <v>47</v>
      </c>
      <c r="C70" s="4" t="s">
        <v>71</v>
      </c>
      <c r="D70" s="5" t="s">
        <v>143</v>
      </c>
      <c r="E70" s="6" t="s">
        <v>62</v>
      </c>
      <c r="F70" s="2" t="s">
        <v>22</v>
      </c>
    </row>
    <row r="71" spans="1:6" x14ac:dyDescent="0.25">
      <c r="A71" s="2">
        <v>70</v>
      </c>
      <c r="B71" s="7" t="s">
        <v>47</v>
      </c>
      <c r="C71" s="4" t="s">
        <v>72</v>
      </c>
      <c r="D71" s="5" t="s">
        <v>144</v>
      </c>
      <c r="E71" s="6" t="s">
        <v>58</v>
      </c>
      <c r="F71" s="2" t="s">
        <v>21</v>
      </c>
    </row>
    <row r="72" spans="1:6" x14ac:dyDescent="0.25">
      <c r="A72" s="2">
        <v>71</v>
      </c>
      <c r="B72" s="7" t="s">
        <v>47</v>
      </c>
      <c r="C72" s="4" t="s">
        <v>72</v>
      </c>
      <c r="D72" s="5" t="s">
        <v>144</v>
      </c>
      <c r="E72" s="6" t="s">
        <v>58</v>
      </c>
      <c r="F72" s="2" t="s">
        <v>22</v>
      </c>
    </row>
    <row r="73" spans="1:6" x14ac:dyDescent="0.25">
      <c r="A73" s="2">
        <v>72</v>
      </c>
      <c r="B73" s="7" t="s">
        <v>47</v>
      </c>
      <c r="C73" s="4" t="s">
        <v>73</v>
      </c>
      <c r="D73" s="5" t="s">
        <v>145</v>
      </c>
      <c r="E73" s="6" t="s">
        <v>62</v>
      </c>
      <c r="F73" s="2" t="s">
        <v>12</v>
      </c>
    </row>
    <row r="74" spans="1:6" x14ac:dyDescent="0.25">
      <c r="A74" s="2">
        <v>73</v>
      </c>
      <c r="B74" s="7" t="s">
        <v>47</v>
      </c>
      <c r="C74" s="4" t="s">
        <v>73</v>
      </c>
      <c r="D74" s="5" t="s">
        <v>145</v>
      </c>
      <c r="E74" s="6" t="s">
        <v>62</v>
      </c>
      <c r="F74" s="2" t="s">
        <v>13</v>
      </c>
    </row>
    <row r="75" spans="1:6" x14ac:dyDescent="0.25">
      <c r="A75" s="2">
        <v>74</v>
      </c>
      <c r="B75" s="7" t="s">
        <v>47</v>
      </c>
      <c r="C75" s="4" t="s">
        <v>73</v>
      </c>
      <c r="D75" s="5" t="s">
        <v>145</v>
      </c>
      <c r="E75" s="6" t="s">
        <v>62</v>
      </c>
      <c r="F75" s="2" t="s">
        <v>14</v>
      </c>
    </row>
    <row r="76" spans="1:6" x14ac:dyDescent="0.25">
      <c r="A76" s="2">
        <v>75</v>
      </c>
      <c r="B76" s="8" t="s">
        <v>74</v>
      </c>
      <c r="C76" s="4" t="s">
        <v>75</v>
      </c>
      <c r="D76" s="5" t="s">
        <v>123</v>
      </c>
      <c r="E76" s="6" t="s">
        <v>75</v>
      </c>
      <c r="F76" s="2" t="s">
        <v>12</v>
      </c>
    </row>
    <row r="77" spans="1:6" x14ac:dyDescent="0.25">
      <c r="A77" s="2">
        <v>76</v>
      </c>
      <c r="B77" s="8" t="s">
        <v>74</v>
      </c>
      <c r="C77" s="4" t="s">
        <v>75</v>
      </c>
      <c r="D77" s="5" t="s">
        <v>123</v>
      </c>
      <c r="E77" s="6" t="s">
        <v>75</v>
      </c>
      <c r="F77" s="2" t="s">
        <v>13</v>
      </c>
    </row>
    <row r="78" spans="1:6" x14ac:dyDescent="0.25">
      <c r="A78" s="2">
        <v>77</v>
      </c>
      <c r="B78" s="8" t="s">
        <v>74</v>
      </c>
      <c r="C78" s="4" t="s">
        <v>75</v>
      </c>
      <c r="D78" s="5" t="s">
        <v>123</v>
      </c>
      <c r="E78" s="6" t="s">
        <v>75</v>
      </c>
      <c r="F78" s="2" t="s">
        <v>14</v>
      </c>
    </row>
    <row r="79" spans="1:6" x14ac:dyDescent="0.25">
      <c r="A79" s="2">
        <v>78</v>
      </c>
      <c r="B79" s="8" t="s">
        <v>74</v>
      </c>
      <c r="C79" s="4" t="s">
        <v>76</v>
      </c>
      <c r="D79" s="5" t="s">
        <v>77</v>
      </c>
      <c r="E79" s="6" t="s">
        <v>75</v>
      </c>
      <c r="F79" s="2" t="s">
        <v>78</v>
      </c>
    </row>
    <row r="80" spans="1:6" x14ac:dyDescent="0.25">
      <c r="A80" s="2">
        <v>79</v>
      </c>
      <c r="B80" s="8" t="s">
        <v>74</v>
      </c>
      <c r="C80" s="4" t="s">
        <v>76</v>
      </c>
      <c r="D80" s="5" t="s">
        <v>77</v>
      </c>
      <c r="E80" s="6" t="s">
        <v>75</v>
      </c>
      <c r="F80" s="2" t="s">
        <v>79</v>
      </c>
    </row>
    <row r="81" spans="1:6" x14ac:dyDescent="0.25">
      <c r="A81" s="2">
        <v>80</v>
      </c>
      <c r="B81" s="8" t="s">
        <v>74</v>
      </c>
      <c r="C81" s="4" t="s">
        <v>76</v>
      </c>
      <c r="D81" s="5" t="s">
        <v>77</v>
      </c>
      <c r="E81" s="6" t="s">
        <v>75</v>
      </c>
      <c r="F81" s="2" t="s">
        <v>80</v>
      </c>
    </row>
    <row r="82" spans="1:6" x14ac:dyDescent="0.25">
      <c r="A82" s="2">
        <v>81</v>
      </c>
      <c r="B82" s="8" t="s">
        <v>74</v>
      </c>
      <c r="C82" s="4" t="s">
        <v>76</v>
      </c>
      <c r="D82" s="5" t="s">
        <v>77</v>
      </c>
      <c r="E82" s="6" t="s">
        <v>75</v>
      </c>
      <c r="F82" s="2" t="s">
        <v>81</v>
      </c>
    </row>
    <row r="83" spans="1:6" x14ac:dyDescent="0.25">
      <c r="A83" s="2">
        <v>82</v>
      </c>
      <c r="B83" s="8" t="s">
        <v>74</v>
      </c>
      <c r="C83" s="4" t="s">
        <v>76</v>
      </c>
      <c r="D83" s="5" t="s">
        <v>77</v>
      </c>
      <c r="E83" s="6" t="s">
        <v>75</v>
      </c>
      <c r="F83" s="2" t="s">
        <v>82</v>
      </c>
    </row>
    <row r="84" spans="1:6" x14ac:dyDescent="0.25">
      <c r="A84" s="2">
        <v>83</v>
      </c>
      <c r="B84" s="8" t="s">
        <v>74</v>
      </c>
      <c r="C84" s="4" t="s">
        <v>76</v>
      </c>
      <c r="D84" s="5" t="s">
        <v>77</v>
      </c>
      <c r="E84" s="6" t="s">
        <v>75</v>
      </c>
      <c r="F84" s="2" t="s">
        <v>83</v>
      </c>
    </row>
    <row r="85" spans="1:6" x14ac:dyDescent="0.25">
      <c r="A85" s="2">
        <v>84</v>
      </c>
      <c r="B85" s="8" t="s">
        <v>74</v>
      </c>
      <c r="C85" s="4" t="s">
        <v>76</v>
      </c>
      <c r="D85" s="5" t="s">
        <v>77</v>
      </c>
      <c r="E85" s="6" t="s">
        <v>75</v>
      </c>
      <c r="F85" s="2" t="s">
        <v>84</v>
      </c>
    </row>
    <row r="86" spans="1:6" ht="25.5" x14ac:dyDescent="0.25">
      <c r="A86" s="2">
        <v>85</v>
      </c>
      <c r="B86" s="9" t="s">
        <v>85</v>
      </c>
      <c r="C86" s="4" t="s">
        <v>86</v>
      </c>
      <c r="D86" s="5" t="s">
        <v>124</v>
      </c>
      <c r="E86" s="6" t="s">
        <v>87</v>
      </c>
      <c r="F86" s="2" t="s">
        <v>9</v>
      </c>
    </row>
    <row r="87" spans="1:6" ht="25.5" x14ac:dyDescent="0.25">
      <c r="A87" s="2">
        <v>86</v>
      </c>
      <c r="B87" s="9" t="s">
        <v>85</v>
      </c>
      <c r="C87" s="4" t="s">
        <v>88</v>
      </c>
      <c r="D87" s="5" t="s">
        <v>125</v>
      </c>
      <c r="E87" s="6" t="s">
        <v>87</v>
      </c>
      <c r="F87" s="2" t="s">
        <v>9</v>
      </c>
    </row>
    <row r="88" spans="1:6" ht="25.5" x14ac:dyDescent="0.25">
      <c r="A88" s="2">
        <v>87</v>
      </c>
      <c r="B88" s="9" t="s">
        <v>85</v>
      </c>
      <c r="C88" s="4" t="s">
        <v>89</v>
      </c>
      <c r="D88" s="5" t="s">
        <v>126</v>
      </c>
      <c r="E88" s="6" t="s">
        <v>87</v>
      </c>
      <c r="F88" s="2" t="s">
        <v>9</v>
      </c>
    </row>
    <row r="89" spans="1:6" x14ac:dyDescent="0.25">
      <c r="A89" s="2">
        <v>88</v>
      </c>
      <c r="B89" s="9" t="s">
        <v>85</v>
      </c>
      <c r="C89" s="4" t="s">
        <v>90</v>
      </c>
      <c r="D89" s="5" t="s">
        <v>146</v>
      </c>
      <c r="E89" s="6" t="s">
        <v>90</v>
      </c>
      <c r="F89" s="2" t="s">
        <v>21</v>
      </c>
    </row>
    <row r="90" spans="1:6" x14ac:dyDescent="0.25">
      <c r="A90" s="2">
        <v>89</v>
      </c>
      <c r="B90" s="9" t="s">
        <v>85</v>
      </c>
      <c r="C90" s="4" t="s">
        <v>90</v>
      </c>
      <c r="D90" s="5" t="s">
        <v>146</v>
      </c>
      <c r="E90" s="6" t="s">
        <v>90</v>
      </c>
      <c r="F90" s="2" t="s">
        <v>22</v>
      </c>
    </row>
    <row r="91" spans="1:6" x14ac:dyDescent="0.25">
      <c r="A91" s="2">
        <v>90</v>
      </c>
      <c r="B91" s="10" t="s">
        <v>91</v>
      </c>
      <c r="C91" s="4" t="s">
        <v>92</v>
      </c>
      <c r="D91" s="5" t="s">
        <v>127</v>
      </c>
      <c r="E91" s="6" t="s">
        <v>93</v>
      </c>
      <c r="F91" s="2" t="s">
        <v>9</v>
      </c>
    </row>
    <row r="92" spans="1:6" x14ac:dyDescent="0.25">
      <c r="A92" s="2">
        <v>91</v>
      </c>
      <c r="B92" s="10" t="s">
        <v>91</v>
      </c>
      <c r="C92" s="4" t="s">
        <v>94</v>
      </c>
      <c r="D92" s="5" t="s">
        <v>128</v>
      </c>
      <c r="E92" s="6" t="s">
        <v>93</v>
      </c>
      <c r="F92" s="2" t="s">
        <v>9</v>
      </c>
    </row>
    <row r="93" spans="1:6" x14ac:dyDescent="0.25">
      <c r="A93" s="2">
        <v>92</v>
      </c>
      <c r="B93" s="10" t="s">
        <v>91</v>
      </c>
      <c r="C93" s="4" t="s">
        <v>95</v>
      </c>
      <c r="D93" s="5" t="s">
        <v>129</v>
      </c>
      <c r="E93" s="6" t="s">
        <v>93</v>
      </c>
      <c r="F93" s="2" t="s">
        <v>9</v>
      </c>
    </row>
    <row r="94" spans="1:6" x14ac:dyDescent="0.25">
      <c r="A94" s="2">
        <v>93</v>
      </c>
      <c r="B94" s="10" t="s">
        <v>91</v>
      </c>
      <c r="C94" s="4" t="s">
        <v>96</v>
      </c>
      <c r="D94" s="5" t="s">
        <v>130</v>
      </c>
      <c r="E94" s="6" t="s">
        <v>93</v>
      </c>
      <c r="F94" s="2" t="s">
        <v>9</v>
      </c>
    </row>
    <row r="95" spans="1:6" x14ac:dyDescent="0.25">
      <c r="A95" s="2">
        <v>94</v>
      </c>
      <c r="B95" s="10" t="s">
        <v>91</v>
      </c>
      <c r="C95" s="4" t="s">
        <v>97</v>
      </c>
      <c r="D95" s="5" t="s">
        <v>131</v>
      </c>
      <c r="E95" s="6" t="s">
        <v>93</v>
      </c>
      <c r="F95" s="2" t="s">
        <v>9</v>
      </c>
    </row>
    <row r="96" spans="1:6" x14ac:dyDescent="0.25">
      <c r="A96" s="2">
        <v>95</v>
      </c>
      <c r="B96" s="11" t="s">
        <v>98</v>
      </c>
      <c r="C96" s="4" t="s">
        <v>99</v>
      </c>
      <c r="D96" s="5" t="s">
        <v>132</v>
      </c>
      <c r="E96" s="6" t="s">
        <v>100</v>
      </c>
      <c r="F96" s="2" t="s">
        <v>9</v>
      </c>
    </row>
    <row r="97" spans="1:6" x14ac:dyDescent="0.25">
      <c r="A97" s="2">
        <v>96</v>
      </c>
      <c r="B97" s="11" t="s">
        <v>98</v>
      </c>
      <c r="C97" s="4" t="s">
        <v>101</v>
      </c>
      <c r="D97" s="5" t="s">
        <v>133</v>
      </c>
      <c r="E97" s="6" t="s">
        <v>100</v>
      </c>
      <c r="F97" s="2" t="s">
        <v>9</v>
      </c>
    </row>
    <row r="98" spans="1:6" x14ac:dyDescent="0.25">
      <c r="A98" s="2">
        <v>97</v>
      </c>
      <c r="B98" s="11" t="s">
        <v>98</v>
      </c>
      <c r="C98" s="4" t="s">
        <v>102</v>
      </c>
      <c r="D98" s="5" t="s">
        <v>134</v>
      </c>
      <c r="E98" s="6" t="s">
        <v>100</v>
      </c>
      <c r="F98" s="2" t="s">
        <v>9</v>
      </c>
    </row>
    <row r="99" spans="1:6" x14ac:dyDescent="0.25">
      <c r="A99" s="2">
        <v>98</v>
      </c>
      <c r="B99" s="11" t="s">
        <v>98</v>
      </c>
      <c r="C99" s="4" t="s">
        <v>103</v>
      </c>
      <c r="D99" s="5" t="s">
        <v>135</v>
      </c>
      <c r="E99" s="6" t="s">
        <v>100</v>
      </c>
      <c r="F99" s="2" t="s">
        <v>9</v>
      </c>
    </row>
    <row r="100" spans="1:6" x14ac:dyDescent="0.25">
      <c r="A100" s="2">
        <v>99</v>
      </c>
      <c r="B100" s="11" t="s">
        <v>98</v>
      </c>
      <c r="C100" s="4" t="s">
        <v>104</v>
      </c>
      <c r="D100" s="5" t="s">
        <v>136</v>
      </c>
      <c r="E100" s="6" t="s">
        <v>100</v>
      </c>
      <c r="F100" s="2" t="s">
        <v>9</v>
      </c>
    </row>
    <row r="101" spans="1:6" x14ac:dyDescent="0.25">
      <c r="A101" s="2">
        <v>100</v>
      </c>
      <c r="B101" s="11" t="s">
        <v>98</v>
      </c>
      <c r="C101" s="4" t="s">
        <v>105</v>
      </c>
      <c r="D101" s="5" t="s">
        <v>136</v>
      </c>
      <c r="E101" s="6" t="s">
        <v>100</v>
      </c>
      <c r="F101" s="2" t="s">
        <v>9</v>
      </c>
    </row>
    <row r="102" spans="1:6" x14ac:dyDescent="0.25">
      <c r="A102" s="2">
        <v>101</v>
      </c>
      <c r="B102" s="11" t="s">
        <v>98</v>
      </c>
      <c r="C102" s="4" t="s">
        <v>106</v>
      </c>
      <c r="D102" s="5" t="s">
        <v>137</v>
      </c>
      <c r="E102" s="6" t="s">
        <v>100</v>
      </c>
      <c r="F102" s="2" t="s">
        <v>9</v>
      </c>
    </row>
    <row r="103" spans="1:6" x14ac:dyDescent="0.25">
      <c r="A103" s="2">
        <v>102</v>
      </c>
      <c r="B103" s="11" t="s">
        <v>98</v>
      </c>
      <c r="C103" s="4" t="s">
        <v>107</v>
      </c>
      <c r="D103" s="5" t="s">
        <v>134</v>
      </c>
      <c r="E103" s="6" t="s">
        <v>100</v>
      </c>
      <c r="F103" s="2" t="s">
        <v>9</v>
      </c>
    </row>
    <row r="104" spans="1:6" x14ac:dyDescent="0.25">
      <c r="A104" s="2">
        <v>103</v>
      </c>
      <c r="B104" s="11" t="s">
        <v>98</v>
      </c>
      <c r="C104" s="4" t="s">
        <v>108</v>
      </c>
      <c r="D104" s="5" t="s">
        <v>138</v>
      </c>
      <c r="E104" s="6" t="s">
        <v>100</v>
      </c>
      <c r="F104" s="2" t="s">
        <v>9</v>
      </c>
    </row>
    <row r="106" spans="1:6" x14ac:dyDescent="0.25">
      <c r="A106" s="12">
        <f>COUNTA(C2:C104)</f>
        <v>103</v>
      </c>
      <c r="C106" s="13" t="s">
        <v>109</v>
      </c>
    </row>
  </sheetData>
  <autoFilter ref="A1:F10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/>
  </sheetViews>
  <sheetFormatPr defaultColWidth="8.7109375" defaultRowHeight="15" x14ac:dyDescent="0.25"/>
  <cols>
    <col min="1" max="1" width="20" customWidth="1"/>
    <col min="2" max="3" width="16" customWidth="1"/>
  </cols>
  <sheetData>
    <row r="1" spans="1:3" x14ac:dyDescent="0.25">
      <c r="A1" s="14" t="s">
        <v>1</v>
      </c>
      <c r="B1" s="14" t="s">
        <v>110</v>
      </c>
      <c r="C1" s="14" t="s">
        <v>111</v>
      </c>
    </row>
    <row r="2" spans="1:3" x14ac:dyDescent="0.25">
      <c r="A2" s="15" t="s">
        <v>6</v>
      </c>
      <c r="B2" s="16">
        <v>22</v>
      </c>
      <c r="C2" s="16">
        <f>COUNTIF('All Cards'!B:B,A2)</f>
        <v>44</v>
      </c>
    </row>
    <row r="3" spans="1:3" x14ac:dyDescent="0.25">
      <c r="A3" s="17" t="s">
        <v>47</v>
      </c>
      <c r="B3" s="16">
        <v>12</v>
      </c>
      <c r="C3" s="16">
        <f>COUNTIF('All Cards'!B:B,A3)</f>
        <v>30</v>
      </c>
    </row>
    <row r="4" spans="1:3" x14ac:dyDescent="0.25">
      <c r="A4" s="18" t="s">
        <v>74</v>
      </c>
      <c r="B4" s="16">
        <v>2</v>
      </c>
      <c r="C4" s="16">
        <f>COUNTIF('All Cards'!B:B,A4)</f>
        <v>10</v>
      </c>
    </row>
    <row r="5" spans="1:3" x14ac:dyDescent="0.25">
      <c r="A5" s="19" t="s">
        <v>85</v>
      </c>
      <c r="B5" s="16">
        <v>4</v>
      </c>
      <c r="C5" s="16">
        <f>COUNTIF('All Cards'!B:B,A5)</f>
        <v>5</v>
      </c>
    </row>
    <row r="6" spans="1:3" x14ac:dyDescent="0.25">
      <c r="A6" s="20" t="s">
        <v>91</v>
      </c>
      <c r="B6" s="16">
        <v>5</v>
      </c>
      <c r="C6" s="16">
        <f>COUNTIF('All Cards'!B:B,A6)</f>
        <v>5</v>
      </c>
    </row>
    <row r="7" spans="1:3" x14ac:dyDescent="0.25">
      <c r="A7" s="21" t="s">
        <v>98</v>
      </c>
      <c r="B7" s="16">
        <v>9</v>
      </c>
      <c r="C7" s="16">
        <f>COUNTIF('All Cards'!B:B,A7)</f>
        <v>9</v>
      </c>
    </row>
    <row r="8" spans="1:3" x14ac:dyDescent="0.25">
      <c r="A8" s="13" t="s">
        <v>112</v>
      </c>
      <c r="B8" s="13">
        <f>SUM(B2:B7)</f>
        <v>54</v>
      </c>
      <c r="C8" s="13">
        <f>SUM(C2:C7)</f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Cards</vt:lpstr>
      <vt:lpstr>Deck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Ornelas</cp:lastModifiedBy>
  <cp:revision>0</cp:revision>
  <dcterms:created xsi:type="dcterms:W3CDTF">2026-09-07T00:27:44Z</dcterms:created>
  <dcterms:modified xsi:type="dcterms:W3CDTF">2026-09-08T22:59:39Z</dcterms:modified>
  <dc:language>en-US</dc:language>
</cp:coreProperties>
</file>